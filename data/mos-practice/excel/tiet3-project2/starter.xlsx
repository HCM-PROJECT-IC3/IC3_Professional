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82e64453b93400/Ôn Luyện Cuối Khóa (10 tiết)/Tiết 1-Xong/PROJECT 2/"/>
    </mc:Choice>
  </mc:AlternateContent>
  <xr:revisionPtr revIDLastSave="4" documentId="13_ncr:1_{0CA7A1D5-DA67-414F-ABEC-ECB8E248968B}" xr6:coauthVersionLast="47" xr6:coauthVersionMax="47" xr10:uidLastSave="{C34B4631-4071-4A13-B86C-C14C6370DDC3}"/>
  <bookViews>
    <workbookView xWindow="-108" yWindow="-108" windowWidth="23256" windowHeight="12456" xr2:uid="{195554A4-05E8-4152-8FCA-2A850DC6B319}"/>
  </bookViews>
  <sheets>
    <sheet name="January" sheetId="1" r:id="rId1"/>
    <sheet name="February" sheetId="2" r:id="rId2"/>
    <sheet name="March" sheetId="3" r:id="rId3"/>
    <sheet name="Summary" sheetId="4" r:id="rId4"/>
  </sheets>
  <definedNames>
    <definedName name="_xlnm._FilterDatabase" localSheetId="0" hidden="1">January!$A$4:$G$12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3" i="2"/>
  <c r="B3" i="1"/>
</calcChain>
</file>

<file path=xl/sharedStrings.xml><?xml version="1.0" encoding="utf-8"?>
<sst xmlns="http://schemas.openxmlformats.org/spreadsheetml/2006/main" count="146" uniqueCount="72">
  <si>
    <t>Client ID</t>
  </si>
  <si>
    <t>Policy Number</t>
  </si>
  <si>
    <t>Renewal Date</t>
  </si>
  <si>
    <t>Years as Member</t>
  </si>
  <si>
    <t>Policy Type</t>
  </si>
  <si>
    <t>Discount</t>
  </si>
  <si>
    <t>A0223</t>
  </si>
  <si>
    <t>A0433</t>
  </si>
  <si>
    <t>A0443</t>
  </si>
  <si>
    <t>A0446</t>
  </si>
  <si>
    <t>B0247</t>
  </si>
  <si>
    <t>B0447</t>
  </si>
  <si>
    <t>B0479</t>
  </si>
  <si>
    <t>B0567</t>
  </si>
  <si>
    <t>A1234</t>
  </si>
  <si>
    <t>A1235</t>
  </si>
  <si>
    <t>VIN NumXer</t>
  </si>
  <si>
    <t>X0445-4312</t>
  </si>
  <si>
    <t>X3022-5677</t>
  </si>
  <si>
    <t>X3041-5234</t>
  </si>
  <si>
    <t>X3042-5234</t>
  </si>
  <si>
    <t>X3111-5234</t>
  </si>
  <si>
    <t>X3222-8008</t>
  </si>
  <si>
    <t>X3333-8008</t>
  </si>
  <si>
    <t>X0456-5677</t>
  </si>
  <si>
    <t>X0467-8008</t>
  </si>
  <si>
    <t>X0589-5319</t>
  </si>
  <si>
    <t>BP</t>
  </si>
  <si>
    <t>SP</t>
  </si>
  <si>
    <t>MP</t>
  </si>
  <si>
    <t>Yes</t>
  </si>
  <si>
    <t>No</t>
  </si>
  <si>
    <t>A0533</t>
  </si>
  <si>
    <t>A0555</t>
  </si>
  <si>
    <t>A0622</t>
  </si>
  <si>
    <t>A0666</t>
  </si>
  <si>
    <t>A0777</t>
  </si>
  <si>
    <t>A1222</t>
  </si>
  <si>
    <t>A1444</t>
  </si>
  <si>
    <t>A1445</t>
  </si>
  <si>
    <t>A1449</t>
  </si>
  <si>
    <t>A3467</t>
  </si>
  <si>
    <t>BP4224</t>
  </si>
  <si>
    <t>SP5417</t>
  </si>
  <si>
    <t>MP1243</t>
  </si>
  <si>
    <t>MP5634</t>
  </si>
  <si>
    <t>SP9399</t>
  </si>
  <si>
    <t>SP1122</t>
  </si>
  <si>
    <t>BP3166</t>
  </si>
  <si>
    <t>BP5066</t>
  </si>
  <si>
    <t>BP6431</t>
  </si>
  <si>
    <t>MP7258</t>
  </si>
  <si>
    <t>SP9752</t>
  </si>
  <si>
    <t>SP6489</t>
  </si>
  <si>
    <t>BP5234</t>
  </si>
  <si>
    <t>MP5125</t>
  </si>
  <si>
    <t>SP8008</t>
  </si>
  <si>
    <t>SP5319</t>
  </si>
  <si>
    <t>BP4312</t>
  </si>
  <si>
    <t>MP5677</t>
  </si>
  <si>
    <t>BP1122</t>
  </si>
  <si>
    <t>MP3166</t>
  </si>
  <si>
    <t>Data Summary</t>
  </si>
  <si>
    <t>Month</t>
  </si>
  <si>
    <t>Policies</t>
  </si>
  <si>
    <t>Jan</t>
  </si>
  <si>
    <t>Feb</t>
  </si>
  <si>
    <t>Mar</t>
  </si>
  <si>
    <t>Januaray=</t>
  </si>
  <si>
    <t>February=</t>
  </si>
  <si>
    <t>March=</t>
  </si>
  <si>
    <t>ABC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</si>
</sst>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26"/>
      <color theme="1"/>
      <name val="Calibri"/>
      <family val="2"/>
      <scheme val="minor"/>
    </font>
    <font>
      <b/>
      <i/>
      <sz val="14"/>
      <color theme="8" tint="-0.249977111117893"/>
      <name val="Calibri"/>
      <family val="2"/>
      <scheme val="minor"/>
    </font>
    <font>
      <sz val="8"/>
      <name val="Calibri"/>
      <family val="2"/>
      <scheme val="minor"/>
    </font>
    <font>
      <sz val="26"/>
      <color theme="1"/>
      <name val="Ebrima"/>
    </font>
    <font>
      <sz val="11"/>
      <color theme="1"/>
      <name val="Ebrima"/>
    </font>
    <font>
      <b/>
      <i/>
      <sz val="14"/>
      <color theme="8" tint="-0.249977111117893"/>
      <name val="Ebrima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64" fontId="6" fillId="0" borderId="0" xfId="0" applyNumberFormat="1" applyFont="1"/>
    <xf numFmtId="0" fontId="5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18">
    <dxf>
      <numFmt numFmtId="0" formatCode="General"/>
    </dxf>
    <dxf>
      <numFmt numFmtId="164" formatCode="[$-409]d\-mmm;@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409]d\-mmm;@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z val="10"/>
        <color indexed="8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sz val="10"/>
        <color indexed="8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Ebrima"/>
        <scheme val="none"/>
      </font>
    </dxf>
    <dxf>
      <font>
        <strike val="0"/>
        <outline val="0"/>
        <shadow val="0"/>
        <u val="none"/>
        <vertAlign val="baseline"/>
        <name val="Ebrima"/>
        <scheme val="none"/>
      </font>
    </dxf>
    <dxf>
      <font>
        <strike val="0"/>
        <outline val="0"/>
        <shadow val="0"/>
        <u val="none"/>
        <vertAlign val="baseline"/>
        <name val="Ebrima"/>
        <scheme val="none"/>
      </font>
    </dxf>
    <dxf>
      <font>
        <strike val="0"/>
        <outline val="0"/>
        <shadow val="0"/>
        <u val="none"/>
        <vertAlign val="baseline"/>
        <name val="Ebrima"/>
        <scheme val="none"/>
      </font>
      <numFmt numFmtId="164" formatCode="[$-409]d\-mmm;@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Ebrima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Ebrima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Ebrima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Ebrima"/>
        <scheme val="none"/>
      </font>
    </dxf>
    <dxf>
      <font>
        <strike val="0"/>
        <outline val="0"/>
        <shadow val="0"/>
        <u val="none"/>
        <vertAlign val="baseline"/>
        <name val="Ebrim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75000"/>
                  </a:schemeClr>
                </a:solidFill>
              </a:rPr>
              <a:t>Policies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Summary!$B$4</c:f>
              <c:strCache>
                <c:ptCount val="1"/>
                <c:pt idx="0">
                  <c:v>Policies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Summary!$A$5:$A$7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8</c:v>
                </c:pt>
                <c:pt idx="1">
                  <c:v>12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0-458C-A053-747C75FD35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57225968"/>
        <c:axId val="1757218896"/>
      </c:barChart>
      <c:catAx>
        <c:axId val="175722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218896"/>
        <c:crosses val="autoZero"/>
        <c:auto val="1"/>
        <c:lblAlgn val="ctr"/>
        <c:lblOffset val="100"/>
        <c:noMultiLvlLbl val="0"/>
      </c:catAx>
      <c:valAx>
        <c:axId val="175721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22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</xdr:row>
      <xdr:rowOff>60325</xdr:rowOff>
    </xdr:from>
    <xdr:to>
      <xdr:col>11</xdr:col>
      <xdr:colOff>295275</xdr:colOff>
      <xdr:row>16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442D7-352D-4893-9EB8-CC79B5869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E0FBFA-5655-4760-B21B-779649D6A18F}" name="Table1" displayName="Table1" ref="A4:G12" totalsRowShown="0" headerRowDxfId="17" dataDxfId="16">
  <autoFilter ref="A4:G12" xr:uid="{DAE0FBFA-5655-4760-B21B-779649D6A18F}"/>
  <tableColumns count="7">
    <tableColumn id="1" xr3:uid="{2D3D5FDE-1466-4AC4-AF8F-3CA80A80740D}" name="Client ID" dataDxfId="15"/>
    <tableColumn id="2" xr3:uid="{E64A6D01-4A56-4F70-876D-D4D76E7C03C4}" name="Policy Number" dataDxfId="14"/>
    <tableColumn id="3" xr3:uid="{2912EF9F-432D-4B21-A73A-619D4C5041E4}" name="VIN NumXer" dataDxfId="13"/>
    <tableColumn id="4" xr3:uid="{F5A3B99E-E657-4A02-AD63-1E384F39C8EA}" name="Renewal Date" dataDxfId="12"/>
    <tableColumn id="5" xr3:uid="{972B89C4-C7FD-4ABA-9862-F8C0F82037A5}" name="Years as Member" dataDxfId="11"/>
    <tableColumn id="6" xr3:uid="{F4A6F8C3-E55F-4731-AF97-EF62207A87FD}" name="Policy Type" dataDxfId="10"/>
    <tableColumn id="7" xr3:uid="{3EA6E981-7C4E-47F5-AE65-B5C81FFF7270}" name="Discount" dataDxfId="9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090183-93F8-44ED-A7BC-55615F6D8679}" name="Table13" displayName="Table13" ref="A4:G16" totalsRowShown="0">
  <autoFilter ref="A4:G16" xr:uid="{DE090183-93F8-44ED-A7BC-55615F6D8679}"/>
  <tableColumns count="7">
    <tableColumn id="1" xr3:uid="{372F1990-3590-4FC8-BAEC-0D9A197D1E4B}" name="Client ID" dataDxfId="8"/>
    <tableColumn id="2" xr3:uid="{FF8DE0EF-F520-4891-85AE-09E41CC7A5AC}" name="Policy Number" dataDxfId="7"/>
    <tableColumn id="3" xr3:uid="{6AEC8E95-65F8-4DCE-A7F3-9212F66CDFDC}" name="VIN NumXer" dataDxfId="6"/>
    <tableColumn id="4" xr3:uid="{C860C5C2-0C22-4974-8F2E-0FC2578BBD35}" name="Renewal Date" dataDxfId="5"/>
    <tableColumn id="5" xr3:uid="{AE8CAF64-A7D2-4E4A-AD8D-B8CD799CA97C}" name="Years as Member"/>
    <tableColumn id="6" xr3:uid="{83D8EA53-EAAC-429C-88BF-981AF50990CB}" name="Policy Type"/>
    <tableColumn id="7" xr3:uid="{5E8600B7-AA7D-4DAD-A6B7-8A69CC453B2A}" name="Discount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493656-690E-4D18-B9CE-8C629F392034}" name="Table134" displayName="Table134" ref="A4:G13" totalsRowShown="0">
  <autoFilter ref="A4:G13" xr:uid="{20493656-690E-4D18-B9CE-8C629F392034}"/>
  <tableColumns count="7">
    <tableColumn id="1" xr3:uid="{BFB728CD-7F1B-428D-9242-BB39D6B781AF}" name="Client ID" dataDxfId="4"/>
    <tableColumn id="2" xr3:uid="{DF785FD4-90EE-4260-8161-4B6DA31508F4}" name="Policy Number" dataDxfId="3"/>
    <tableColumn id="3" xr3:uid="{558D9E73-D4C6-4724-BECD-7C27A2D931DB}" name="VIN NumXer" dataDxfId="2"/>
    <tableColumn id="4" xr3:uid="{99FB21BB-0639-436B-B7FF-796A5D11FE2D}" name="Renewal Date" dataDxfId="1"/>
    <tableColumn id="5" xr3:uid="{58E508C5-6AA6-4E02-91BE-0972F90F7BFC}" name="Years as Member"/>
    <tableColumn id="6" xr3:uid="{747DC163-34E8-46A5-AE5D-9C2F60E03E41}" name="Policy Type"/>
    <tableColumn id="7" xr3:uid="{87A66A3E-D150-4CF1-A1F5-E42961983D9A}" name="Discount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BFCABA-A27E-4071-A3C6-2357D3BA4F52}" name="Table4" displayName="Table4" ref="A4:B7" totalsRowShown="0">
  <autoFilter ref="A4:B7" xr:uid="{3ABFCABA-A27E-4071-A3C6-2357D3BA4F52}"/>
  <tableColumns count="2">
    <tableColumn id="1" xr3:uid="{C8764750-AC30-4F64-818B-CAB2BBF69D63}" name="Month"/>
    <tableColumn id="2" xr3:uid="{DC03D64C-7E95-46F0-87BF-29182200298D}" name="Policie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66DE-6E3E-4D27-BC0D-ED772E0B52BF}">
  <dimension ref="A1:G12"/>
  <sheetViews>
    <sheetView tabSelected="1" zoomScaleNormal="100" workbookViewId="0">
      <selection sqref="A1:C1"/>
    </sheetView>
  </sheetViews>
  <sheetFormatPr defaultColWidth="8.6640625" defaultRowHeight="16.8" x14ac:dyDescent="0.4"/>
  <cols>
    <col min="1" max="1" width="16" style="8" customWidth="1"/>
    <col min="2" max="2" width="14.88671875" style="8" customWidth="1"/>
    <col min="3" max="3" width="22.109375" style="8" customWidth="1"/>
    <col min="4" max="4" width="14.33203125" style="8" customWidth="1"/>
    <col min="5" max="5" width="17.33203125" style="8" customWidth="1"/>
    <col min="6" max="6" width="18.109375" style="8" customWidth="1"/>
    <col min="7" max="7" width="10.109375" style="8" customWidth="1"/>
    <col min="8" max="16384" width="8.6640625" style="8"/>
  </cols>
  <sheetData>
    <row r="1" spans="1:7" ht="38.4" x14ac:dyDescent="0.85">
      <c r="A1" s="13" t="s">
        <v>71</v>
      </c>
      <c r="B1" s="13"/>
      <c r="C1" s="13"/>
    </row>
    <row r="3" spans="1:7" ht="20.399999999999999" x14ac:dyDescent="0.45">
      <c r="A3" s="9" t="s">
        <v>68</v>
      </c>
      <c r="B3" s="10">
        <f>COUNTA(Table1[Client ID])</f>
        <v>8</v>
      </c>
    </row>
    <row r="4" spans="1:7" x14ac:dyDescent="0.4">
      <c r="A4" s="8" t="s">
        <v>0</v>
      </c>
      <c r="B4" s="8" t="s">
        <v>1</v>
      </c>
      <c r="C4" s="8" t="s">
        <v>16</v>
      </c>
      <c r="D4" s="8" t="s">
        <v>2</v>
      </c>
      <c r="E4" s="8" t="s">
        <v>3</v>
      </c>
      <c r="F4" s="8" t="s">
        <v>4</v>
      </c>
      <c r="G4" s="8" t="s">
        <v>5</v>
      </c>
    </row>
    <row r="5" spans="1:7" x14ac:dyDescent="0.4">
      <c r="A5" s="11" t="s">
        <v>6</v>
      </c>
      <c r="B5" s="8" t="s">
        <v>42</v>
      </c>
      <c r="C5" s="11" t="s">
        <v>17</v>
      </c>
      <c r="D5" s="12">
        <v>44224</v>
      </c>
      <c r="E5" s="8">
        <v>5</v>
      </c>
      <c r="F5" s="8" t="s">
        <v>27</v>
      </c>
      <c r="G5" s="8" t="s">
        <v>30</v>
      </c>
    </row>
    <row r="6" spans="1:7" x14ac:dyDescent="0.4">
      <c r="A6" s="11" t="s">
        <v>7</v>
      </c>
      <c r="B6" s="8" t="s">
        <v>43</v>
      </c>
      <c r="C6" s="11" t="s">
        <v>18</v>
      </c>
      <c r="D6" s="12">
        <v>44222</v>
      </c>
      <c r="E6" s="8">
        <v>6</v>
      </c>
      <c r="F6" s="8" t="s">
        <v>28</v>
      </c>
      <c r="G6" s="8" t="s">
        <v>30</v>
      </c>
    </row>
    <row r="7" spans="1:7" x14ac:dyDescent="0.4">
      <c r="A7" s="11" t="s">
        <v>8</v>
      </c>
      <c r="B7" s="8" t="s">
        <v>44</v>
      </c>
      <c r="C7" s="11" t="s">
        <v>19</v>
      </c>
      <c r="D7" s="12">
        <v>44218</v>
      </c>
      <c r="E7" s="8">
        <v>5</v>
      </c>
      <c r="F7" s="8" t="s">
        <v>29</v>
      </c>
      <c r="G7" s="8" t="s">
        <v>30</v>
      </c>
    </row>
    <row r="8" spans="1:7" x14ac:dyDescent="0.4">
      <c r="A8" s="11" t="s">
        <v>9</v>
      </c>
      <c r="B8" s="8" t="s">
        <v>45</v>
      </c>
      <c r="C8" s="11" t="s">
        <v>20</v>
      </c>
      <c r="D8" s="12">
        <v>44211</v>
      </c>
      <c r="E8" s="8">
        <v>7</v>
      </c>
      <c r="F8" s="8" t="s">
        <v>29</v>
      </c>
      <c r="G8" s="8" t="s">
        <v>30</v>
      </c>
    </row>
    <row r="9" spans="1:7" x14ac:dyDescent="0.4">
      <c r="A9" s="11" t="s">
        <v>10</v>
      </c>
      <c r="B9" s="8" t="s">
        <v>46</v>
      </c>
      <c r="C9" s="11" t="s">
        <v>21</v>
      </c>
      <c r="D9" s="12">
        <v>44209</v>
      </c>
      <c r="E9" s="8">
        <v>5</v>
      </c>
      <c r="F9" s="8" t="s">
        <v>28</v>
      </c>
      <c r="G9" s="8" t="s">
        <v>30</v>
      </c>
    </row>
    <row r="10" spans="1:7" x14ac:dyDescent="0.4">
      <c r="A10" s="11" t="s">
        <v>13</v>
      </c>
      <c r="B10" s="8" t="s">
        <v>49</v>
      </c>
      <c r="C10" s="11" t="s">
        <v>24</v>
      </c>
      <c r="D10" s="12">
        <v>44227</v>
      </c>
      <c r="E10" s="8">
        <v>6</v>
      </c>
      <c r="F10" s="8" t="s">
        <v>27</v>
      </c>
      <c r="G10" s="8" t="s">
        <v>30</v>
      </c>
    </row>
    <row r="11" spans="1:7" x14ac:dyDescent="0.4">
      <c r="A11" s="11" t="s">
        <v>14</v>
      </c>
      <c r="B11" s="8" t="s">
        <v>50</v>
      </c>
      <c r="C11" s="11" t="s">
        <v>25</v>
      </c>
      <c r="D11" s="12">
        <v>44221</v>
      </c>
      <c r="E11" s="8">
        <v>3</v>
      </c>
      <c r="F11" s="8" t="s">
        <v>27</v>
      </c>
      <c r="G11" s="8" t="s">
        <v>31</v>
      </c>
    </row>
    <row r="12" spans="1:7" x14ac:dyDescent="0.4">
      <c r="A12" s="11" t="s">
        <v>15</v>
      </c>
      <c r="B12" s="8" t="s">
        <v>51</v>
      </c>
      <c r="C12" s="11" t="s">
        <v>26</v>
      </c>
      <c r="D12" s="12">
        <v>44216</v>
      </c>
      <c r="E12" s="8">
        <v>1</v>
      </c>
      <c r="F12" s="8" t="s">
        <v>29</v>
      </c>
      <c r="G12" s="8" t="s">
        <v>31</v>
      </c>
    </row>
  </sheetData>
  <mergeCells count="1">
    <mergeCell ref="A1:C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B587-B726-4324-9249-6F6C3E8A00D4}">
  <dimension ref="A1:G16"/>
  <sheetViews>
    <sheetView workbookViewId="0">
      <selection sqref="A1:C1"/>
    </sheetView>
  </sheetViews>
  <sheetFormatPr defaultRowHeight="14.4" x14ac:dyDescent="0.3"/>
  <cols>
    <col min="1" max="1" width="13.5546875" bestFit="1" customWidth="1"/>
    <col min="2" max="2" width="15.33203125" bestFit="1" customWidth="1"/>
    <col min="3" max="3" width="17" customWidth="1"/>
    <col min="4" max="4" width="14.5546875" bestFit="1" customWidth="1"/>
    <col min="5" max="5" width="17.5546875" customWidth="1"/>
    <col min="6" max="6" width="12.44140625" bestFit="1" customWidth="1"/>
    <col min="7" max="7" width="10.44140625" bestFit="1" customWidth="1"/>
  </cols>
  <sheetData>
    <row r="1" spans="1:7" ht="33.6" x14ac:dyDescent="0.65">
      <c r="A1" s="14" t="s">
        <v>71</v>
      </c>
      <c r="B1" s="14"/>
      <c r="C1" s="14"/>
    </row>
    <row r="3" spans="1:7" ht="18" x14ac:dyDescent="0.35">
      <c r="A3" s="6" t="s">
        <v>69</v>
      </c>
      <c r="B3" s="5">
        <f>COUNTA(Table13[Client ID])</f>
        <v>12</v>
      </c>
    </row>
    <row r="4" spans="1:7" x14ac:dyDescent="0.3">
      <c r="A4" t="s">
        <v>0</v>
      </c>
      <c r="B4" t="s">
        <v>1</v>
      </c>
      <c r="C4" t="s">
        <v>16</v>
      </c>
      <c r="D4" t="s">
        <v>2</v>
      </c>
      <c r="E4" t="s">
        <v>3</v>
      </c>
      <c r="F4" t="s">
        <v>4</v>
      </c>
      <c r="G4" t="s">
        <v>5</v>
      </c>
    </row>
    <row r="5" spans="1:7" x14ac:dyDescent="0.3">
      <c r="A5" s="1" t="s">
        <v>32</v>
      </c>
      <c r="B5" s="7" t="s">
        <v>52</v>
      </c>
      <c r="C5" s="1" t="s">
        <v>17</v>
      </c>
      <c r="D5" s="2">
        <v>44255</v>
      </c>
      <c r="E5">
        <v>5</v>
      </c>
    </row>
    <row r="6" spans="1:7" x14ac:dyDescent="0.3">
      <c r="A6" s="1" t="s">
        <v>33</v>
      </c>
      <c r="B6" s="7" t="s">
        <v>53</v>
      </c>
      <c r="C6" s="1" t="s">
        <v>18</v>
      </c>
      <c r="D6" s="2">
        <v>44253</v>
      </c>
      <c r="E6">
        <v>4</v>
      </c>
    </row>
    <row r="7" spans="1:7" x14ac:dyDescent="0.3">
      <c r="A7" s="1" t="s">
        <v>34</v>
      </c>
      <c r="B7" t="s">
        <v>54</v>
      </c>
      <c r="C7" s="1" t="s">
        <v>19</v>
      </c>
      <c r="D7" s="2">
        <v>44249</v>
      </c>
      <c r="E7">
        <v>5</v>
      </c>
    </row>
    <row r="8" spans="1:7" x14ac:dyDescent="0.3">
      <c r="A8" s="1" t="s">
        <v>35</v>
      </c>
      <c r="B8" t="s">
        <v>55</v>
      </c>
      <c r="C8" s="1" t="s">
        <v>20</v>
      </c>
      <c r="D8" s="2">
        <v>44242</v>
      </c>
      <c r="E8">
        <v>8</v>
      </c>
    </row>
    <row r="9" spans="1:7" x14ac:dyDescent="0.3">
      <c r="A9" s="1" t="s">
        <v>36</v>
      </c>
      <c r="B9" t="s">
        <v>56</v>
      </c>
      <c r="C9" s="1" t="s">
        <v>21</v>
      </c>
      <c r="D9" s="2">
        <v>44240</v>
      </c>
      <c r="E9">
        <v>7</v>
      </c>
    </row>
    <row r="10" spans="1:7" x14ac:dyDescent="0.3">
      <c r="A10" s="3" t="s">
        <v>37</v>
      </c>
      <c r="B10" t="s">
        <v>57</v>
      </c>
      <c r="C10" s="1" t="s">
        <v>22</v>
      </c>
      <c r="D10" s="2">
        <v>44255</v>
      </c>
      <c r="E10">
        <v>4</v>
      </c>
    </row>
    <row r="11" spans="1:7" x14ac:dyDescent="0.3">
      <c r="A11" s="3" t="s">
        <v>38</v>
      </c>
      <c r="B11" s="7" t="s">
        <v>58</v>
      </c>
      <c r="C11" s="1" t="s">
        <v>23</v>
      </c>
      <c r="D11" s="2">
        <v>44240</v>
      </c>
      <c r="E11">
        <v>5</v>
      </c>
    </row>
    <row r="12" spans="1:7" x14ac:dyDescent="0.3">
      <c r="A12" s="3" t="s">
        <v>39</v>
      </c>
      <c r="B12" t="s">
        <v>59</v>
      </c>
      <c r="C12" s="1" t="s">
        <v>24</v>
      </c>
      <c r="D12" s="2">
        <v>44231</v>
      </c>
      <c r="E12">
        <v>2</v>
      </c>
    </row>
    <row r="13" spans="1:7" x14ac:dyDescent="0.3">
      <c r="A13" s="3" t="s">
        <v>40</v>
      </c>
      <c r="B13" s="7" t="s">
        <v>60</v>
      </c>
      <c r="C13" s="1" t="s">
        <v>25</v>
      </c>
      <c r="D13" s="2">
        <v>44234</v>
      </c>
      <c r="E13">
        <v>6</v>
      </c>
    </row>
    <row r="14" spans="1:7" x14ac:dyDescent="0.3">
      <c r="A14" s="1" t="s">
        <v>11</v>
      </c>
      <c r="B14" t="s">
        <v>47</v>
      </c>
      <c r="C14" s="1" t="s">
        <v>22</v>
      </c>
      <c r="D14" s="2">
        <v>44239</v>
      </c>
      <c r="E14">
        <v>4</v>
      </c>
    </row>
    <row r="15" spans="1:7" x14ac:dyDescent="0.3">
      <c r="A15" s="1" t="s">
        <v>12</v>
      </c>
      <c r="B15" t="s">
        <v>48</v>
      </c>
      <c r="C15" s="1" t="s">
        <v>23</v>
      </c>
      <c r="D15" s="2">
        <v>44233</v>
      </c>
      <c r="E15">
        <v>5</v>
      </c>
    </row>
    <row r="16" spans="1:7" x14ac:dyDescent="0.3">
      <c r="A16" s="3" t="s">
        <v>41</v>
      </c>
      <c r="B16" t="s">
        <v>61</v>
      </c>
      <c r="C16" s="1" t="s">
        <v>26</v>
      </c>
      <c r="D16" s="2">
        <v>44247</v>
      </c>
      <c r="E16">
        <v>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48D4-5F42-422F-A2ED-87BCC41BA2D4}">
  <dimension ref="A1:G13"/>
  <sheetViews>
    <sheetView workbookViewId="0">
      <selection sqref="A1:C1"/>
    </sheetView>
  </sheetViews>
  <sheetFormatPr defaultRowHeight="14.4" x14ac:dyDescent="0.3"/>
  <cols>
    <col min="1" max="1" width="13.5546875" bestFit="1" customWidth="1"/>
    <col min="2" max="2" width="15.33203125" bestFit="1" customWidth="1"/>
    <col min="3" max="3" width="20.6640625" customWidth="1"/>
    <col min="4" max="4" width="14.5546875" bestFit="1" customWidth="1"/>
    <col min="5" max="5" width="17.5546875" bestFit="1" customWidth="1"/>
    <col min="6" max="6" width="12.44140625" bestFit="1" customWidth="1"/>
    <col min="7" max="7" width="10.44140625" bestFit="1" customWidth="1"/>
  </cols>
  <sheetData>
    <row r="1" spans="1:7" ht="33.6" x14ac:dyDescent="0.65">
      <c r="A1" s="14" t="s">
        <v>71</v>
      </c>
      <c r="B1" s="14"/>
      <c r="C1" s="14"/>
    </row>
    <row r="3" spans="1:7" ht="18" x14ac:dyDescent="0.35">
      <c r="A3" s="6" t="s">
        <v>70</v>
      </c>
      <c r="B3" s="5">
        <f>COUNTA(Table134[Client ID])</f>
        <v>9</v>
      </c>
    </row>
    <row r="4" spans="1:7" x14ac:dyDescent="0.3">
      <c r="A4" t="s">
        <v>0</v>
      </c>
      <c r="B4" t="s">
        <v>1</v>
      </c>
      <c r="C4" t="s">
        <v>16</v>
      </c>
      <c r="D4" t="s">
        <v>2</v>
      </c>
      <c r="E4" t="s">
        <v>3</v>
      </c>
      <c r="F4" t="s">
        <v>4</v>
      </c>
      <c r="G4" t="s">
        <v>5</v>
      </c>
    </row>
    <row r="5" spans="1:7" x14ac:dyDescent="0.3">
      <c r="A5" s="1" t="s">
        <v>6</v>
      </c>
      <c r="B5" s="1">
        <v>4224</v>
      </c>
      <c r="C5" s="1" t="s">
        <v>17</v>
      </c>
      <c r="D5" s="2">
        <v>44255</v>
      </c>
      <c r="E5">
        <v>8</v>
      </c>
      <c r="F5" t="s">
        <v>27</v>
      </c>
      <c r="G5" t="s">
        <v>30</v>
      </c>
    </row>
    <row r="6" spans="1:7" x14ac:dyDescent="0.3">
      <c r="A6" s="1" t="s">
        <v>7</v>
      </c>
      <c r="B6" s="1">
        <v>5417</v>
      </c>
      <c r="C6" s="1" t="s">
        <v>18</v>
      </c>
      <c r="D6" s="2">
        <v>44281</v>
      </c>
      <c r="E6">
        <v>5</v>
      </c>
      <c r="F6" t="s">
        <v>28</v>
      </c>
      <c r="G6" t="s">
        <v>30</v>
      </c>
    </row>
    <row r="7" spans="1:7" x14ac:dyDescent="0.3">
      <c r="A7" s="1" t="s">
        <v>8</v>
      </c>
      <c r="B7" s="1">
        <v>1243</v>
      </c>
      <c r="C7" s="1" t="s">
        <v>19</v>
      </c>
      <c r="D7" s="2">
        <v>44218</v>
      </c>
      <c r="E7">
        <v>5</v>
      </c>
      <c r="F7" t="s">
        <v>28</v>
      </c>
      <c r="G7" t="s">
        <v>30</v>
      </c>
    </row>
    <row r="8" spans="1:7" x14ac:dyDescent="0.3">
      <c r="A8" s="1" t="s">
        <v>9</v>
      </c>
      <c r="B8" s="1">
        <v>5417</v>
      </c>
      <c r="C8" s="1" t="s">
        <v>20</v>
      </c>
      <c r="D8" s="2">
        <v>44211</v>
      </c>
      <c r="E8">
        <v>7</v>
      </c>
      <c r="F8" t="s">
        <v>29</v>
      </c>
      <c r="G8" t="s">
        <v>30</v>
      </c>
    </row>
    <row r="9" spans="1:7" x14ac:dyDescent="0.3">
      <c r="A9" s="1" t="s">
        <v>10</v>
      </c>
      <c r="B9" s="1">
        <v>1243</v>
      </c>
      <c r="C9" s="1" t="s">
        <v>21</v>
      </c>
      <c r="D9" s="2">
        <v>44209</v>
      </c>
      <c r="E9">
        <v>5</v>
      </c>
      <c r="F9" t="s">
        <v>28</v>
      </c>
      <c r="G9" t="s">
        <v>30</v>
      </c>
    </row>
    <row r="10" spans="1:7" x14ac:dyDescent="0.3">
      <c r="A10" s="1" t="s">
        <v>11</v>
      </c>
      <c r="B10" s="1">
        <v>5634</v>
      </c>
      <c r="C10" s="1" t="s">
        <v>22</v>
      </c>
      <c r="D10" s="2">
        <v>44284</v>
      </c>
      <c r="E10">
        <v>1</v>
      </c>
      <c r="F10" t="s">
        <v>28</v>
      </c>
      <c r="G10" t="s">
        <v>31</v>
      </c>
    </row>
    <row r="11" spans="1:7" x14ac:dyDescent="0.3">
      <c r="A11" s="1" t="s">
        <v>12</v>
      </c>
      <c r="B11" s="1">
        <v>5634</v>
      </c>
      <c r="C11" s="1" t="s">
        <v>23</v>
      </c>
      <c r="D11" s="2">
        <v>44227</v>
      </c>
      <c r="E11">
        <v>3</v>
      </c>
      <c r="F11" t="s">
        <v>27</v>
      </c>
      <c r="G11" t="s">
        <v>30</v>
      </c>
    </row>
    <row r="12" spans="1:7" x14ac:dyDescent="0.3">
      <c r="A12" s="1" t="s">
        <v>14</v>
      </c>
      <c r="B12" s="1">
        <v>9399</v>
      </c>
      <c r="C12" s="1" t="s">
        <v>25</v>
      </c>
      <c r="D12" s="2">
        <v>44252</v>
      </c>
      <c r="E12">
        <v>3</v>
      </c>
      <c r="F12" t="s">
        <v>27</v>
      </c>
      <c r="G12" t="s">
        <v>31</v>
      </c>
    </row>
    <row r="13" spans="1:7" x14ac:dyDescent="0.3">
      <c r="A13" s="1" t="s">
        <v>15</v>
      </c>
      <c r="B13" s="1">
        <v>9399</v>
      </c>
      <c r="C13" s="1" t="s">
        <v>26</v>
      </c>
      <c r="D13" s="2">
        <v>44247</v>
      </c>
      <c r="E13">
        <v>1</v>
      </c>
      <c r="F13" t="s">
        <v>29</v>
      </c>
      <c r="G13" t="s">
        <v>31</v>
      </c>
    </row>
  </sheetData>
  <mergeCells count="1">
    <mergeCell ref="A1:C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9417-339E-4D6B-9F6A-542FEE8098E1}">
  <dimension ref="A1:D7"/>
  <sheetViews>
    <sheetView workbookViewId="0">
      <selection sqref="A1:D1"/>
    </sheetView>
  </sheetViews>
  <sheetFormatPr defaultRowHeight="14.4" x14ac:dyDescent="0.3"/>
  <cols>
    <col min="1" max="1" width="18.109375" bestFit="1" customWidth="1"/>
    <col min="2" max="2" width="8.88671875" customWidth="1"/>
  </cols>
  <sheetData>
    <row r="1" spans="1:4" ht="33.6" x14ac:dyDescent="0.65">
      <c r="A1" s="14" t="s">
        <v>71</v>
      </c>
      <c r="B1" s="14"/>
      <c r="C1" s="14"/>
      <c r="D1" s="14"/>
    </row>
    <row r="3" spans="1:4" ht="26.4" customHeight="1" x14ac:dyDescent="0.35">
      <c r="A3" s="4" t="s">
        <v>62</v>
      </c>
    </row>
    <row r="4" spans="1:4" x14ac:dyDescent="0.3">
      <c r="A4" t="s">
        <v>63</v>
      </c>
      <c r="B4" t="s">
        <v>64</v>
      </c>
    </row>
    <row r="5" spans="1:4" x14ac:dyDescent="0.3">
      <c r="A5" t="s">
        <v>65</v>
      </c>
      <c r="B5">
        <v>8</v>
      </c>
    </row>
    <row r="6" spans="1:4" x14ac:dyDescent="0.3">
      <c r="A6" t="s">
        <v>66</v>
      </c>
      <c r="B6">
        <v>12</v>
      </c>
    </row>
    <row r="7" spans="1:4" x14ac:dyDescent="0.3">
      <c r="A7" t="s">
        <v>67</v>
      </c>
      <c r="B7">
        <v>9</v>
      </c>
    </row>
  </sheetData>
  <mergeCells count="1">
    <mergeCell ref="A1:D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6D8F872723CA3D47998B9DA3D0F9A771" ma:contentTypeVersion="24" ma:contentTypeDescription="Tạo tài liệu mới." ma:contentTypeScope="" ma:versionID="15251bd3d9b9745d99b16c9e05f11551">
  <xsd:schema xmlns:xsd="http://www.w3.org/2001/XMLSchema" xmlns:xs="http://www.w3.org/2001/XMLSchema" xmlns:p="http://schemas.microsoft.com/office/2006/metadata/properties" xmlns:ns2="a8fb5109-c0a4-4437-8847-769cf16c1053" xmlns:ns3="bb048859-e181-4ebb-8aab-096355f0047e" targetNamespace="http://schemas.microsoft.com/office/2006/metadata/properties" ma:root="true" ma:fieldsID="cf5d06fb4e3f662c1928c2ceb0a4bdf3" ns2:_="" ns3:_="">
    <xsd:import namespace="a8fb5109-c0a4-4437-8847-769cf16c1053"/>
    <xsd:import namespace="bb048859-e181-4ebb-8aab-096355f00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T_x01b0__x1edd_ngQuy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b5109-c0a4-4437-8847-769cf16c1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Thẻ Hình ảnh" ma:readOnly="false" ma:fieldId="{5cf76f15-5ced-4ddc-b409-7134ff3c332f}" ma:taxonomyMulti="true" ma:sspId="e9fadda9-e8b1-4ed6-9fdf-2a7749ef1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_x01b0__x1edd_ngQuy" ma:index="24" nillable="true" ma:displayName="Tường Quy" ma:format="Dropdown" ma:list="UserInfo" ma:SharePointGroup="0" ma:internalName="T_x01b0__x1edd_ngQu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48859-e181-4ebb-8aab-096355f00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1f34156-b3be-45f3-b043-6378d40e60ec}" ma:internalName="TaxCatchAll" ma:showField="CatchAllData" ma:web="bb048859-e181-4ebb-8aab-096355f00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fb5109-c0a4-4437-8847-769cf16c1053">
      <Terms xmlns="http://schemas.microsoft.com/office/infopath/2007/PartnerControls"/>
    </lcf76f155ced4ddcb4097134ff3c332f>
    <TaxCatchAll xmlns="bb048859-e181-4ebb-8aab-096355f0047e" xsi:nil="true"/>
    <T_x01b0__x1edd_ngQuy xmlns="a8fb5109-c0a4-4437-8847-769cf16c1053">
      <UserInfo>
        <DisplayName/>
        <AccountId xsi:nil="true"/>
        <AccountType/>
      </UserInfo>
    </T_x01b0__x1edd_ngQuy>
  </documentManagement>
</p:properties>
</file>

<file path=customXml/itemProps1.xml><?xml version="1.0" encoding="utf-8"?>
<ds:datastoreItem xmlns:ds="http://schemas.openxmlformats.org/officeDocument/2006/customXml" ds:itemID="{3E3A20EA-01DB-4FD3-BFB3-4E359D1F4EB0}"/>
</file>

<file path=customXml/itemProps2.xml><?xml version="1.0" encoding="utf-8"?>
<ds:datastoreItem xmlns:ds="http://schemas.openxmlformats.org/officeDocument/2006/customXml" ds:itemID="{2B67EAD2-11D4-4714-85DE-5B8C009F78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E45CAE-0F0C-447B-A51E-28F4781DF078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a8fb5109-c0a4-4437-8847-769cf16c1053"/>
    <ds:schemaRef ds:uri="http://purl.org/dc/terms/"/>
    <ds:schemaRef ds:uri="http://schemas.openxmlformats.org/package/2006/metadata/core-properties"/>
    <ds:schemaRef ds:uri="bb048859-e181-4ebb-8aab-096355f0047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</vt:lpstr>
      <vt:lpstr>February</vt:lpstr>
      <vt:lpstr>March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Dũng Đinh Quang Minh</cp:lastModifiedBy>
  <dcterms:created xsi:type="dcterms:W3CDTF">2021-11-15T03:45:53Z</dcterms:created>
  <dcterms:modified xsi:type="dcterms:W3CDTF">2026-08-18T01:38:19Z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0x0101006D8F872723CA3D47998B9DA3D0F9A771</vt:lpwstr>
  </property>
</Properties>
</file>